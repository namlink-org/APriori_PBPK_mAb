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93f1de104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key CL Fits" sheetId="1" r:id="Rae85f9776503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"/>
    <x:numFmt numFmtId="201" formatCode="0.0"/>
    <x:numFmt numFmtId="202" formatCode="0.00E+00"/>
    <x:numFmt numFmtId="203" formatCode="0.000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horizontal="right" vertical="center"/>
    </x:xf>
    <x:xf numFmtId="201" fontId="2" fillId="0" borderId="2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horizontal="right" vertical="center"/>
    </x:xf>
    <x:xf numFmtId="202" fontId="2" fillId="0" borderId="2" xfId="0" applyNumberFormat="1" applyFont="1" applyFill="1" applyBorder="1" applyAlignment="1">
      <x:alignment horizontal="right" vertical="center"/>
    </x:xf>
    <x:xf numFmtId="203" fontId="2" fillId="0" borderId="2" xfId="0" applyNumberFormat="1" applyFont="1" applyFill="1" applyBorder="1" applyAlignment="1">
      <x:alignment horizontal="right" vertical="center"/>
    </x:xf>
    <x:xf numFmtId="200" fontId="2" fillId="0" borderId="3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horizontal="right" vertical="center"/>
    </x:xf>
    <x:xf numFmtId="202" fontId="2" fillId="0" borderId="3" xfId="0" applyNumberFormat="1" applyFont="1" applyFill="1" applyBorder="1" applyAlignment="1">
      <x:alignment horizontal="right" vertical="center"/>
    </x:xf>
    <x:xf numFmtId="203" fontId="2" fillId="0" borderId="3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horizontal="right" vertical="center"/>
    </x:xf>
    <x:xf numFmtId="202" fontId="2" fillId="0" borderId="4" xfId="0" applyNumberFormat="1" applyFont="1" applyFill="1" applyBorder="1" applyAlignment="1">
      <x:alignment horizontal="right" vertical="center"/>
    </x:xf>
    <x:xf numFmtId="203" fontId="2" fillId="0" borderId="4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c5b2895184783" /><Relationship Type="http://schemas.openxmlformats.org/officeDocument/2006/relationships/theme" Target="/xl/theme/theme1.xml" Id="R26f9dfca48e3488f" /><Relationship Type="http://schemas.openxmlformats.org/officeDocument/2006/relationships/sharedStrings" Target="/xl/sharedStrings.xml" Id="Rcfae0916dc7348c8" /><Relationship Type="http://schemas.openxmlformats.org/officeDocument/2006/relationships/worksheet" Target="/xl/worksheets/sheet1.xml" Id="Rae85f97765034065" /></Relationships>
</file>

<file path=xl/tables/table1.xml><?xml version="1.0" encoding="utf-8"?>
<x:table xmlns:x="http://schemas.openxmlformats.org/spreadsheetml/2006/main" id="1" name="MonkeyCLFitsTable" displayName="MonkeyCLFitsTable" ref="A1:J9" headerRowCount="1" totalsRowCount="0" totalsRowShown="0">
  <x:autoFilter ref="A1:J9"/>
  <x:tableColumns count="10">
    <x:tableColumn id="1" name="Molecule"/>
    <x:tableColumn id="2" name="Target"/>
    <x:tableColumn id="3" name="Run"/>
    <x:tableColumn id="4" name="CL Estimate (L/h/kg)"/>
    <x:tableColumn id="5" name="CL RSE (%)"/>
    <x:tableColumn id="6" name="Optimizer Status"/>
    <x:tableColumn id="7" name="Covariance Status"/>
    <x:tableColumn id="8" name="Hessian Condition Number"/>
    <x:tableColumn id="9" name="OFV"/>
    <x:tableColumn id="10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ea07904477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34" hidden="0" customWidth="1"/>
    <x:col min="4" max="4" width="20" hidden="0" customWidth="1"/>
    <x:col min="5" max="5" width="13" hidden="0" customWidth="1"/>
    <x:col min="6" max="6" width="20" hidden="0" customWidth="1"/>
    <x:col min="7" max="7" width="20" hidden="0" customWidth="1"/>
    <x:col min="8" max="8" width="24" hidden="0" customWidth="1"/>
    <x:col min="9" max="9" width="12" hidden="0" customWidth="1"/>
    <x:col min="10" max="10" width="48" hidden="0" customWidth="1"/>
  </x:cols>
  <x:sheetData>
    <x:row r="1" ht="34" customHeight="1">
      <x:c r="A1" s="5" t="str">
        <x:v>Molecule</x:v>
      </x:c>
      <x:c r="B1" s="5" t="str">
        <x:v>Target</x:v>
      </x:c>
      <x:c r="C1" s="5" t="str">
        <x:v>Run</x:v>
      </x:c>
      <x:c r="D1" s="5" t="str">
        <x:v>CL Estimate (L/h/kg)</x:v>
      </x:c>
      <x:c r="E1" s="5" t="str">
        <x:v>CL RSE (%)</x:v>
      </x:c>
      <x:c r="F1" s="5" t="str">
        <x:v>Optimizer Status</x:v>
      </x:c>
      <x:c r="G1" s="5" t="str">
        <x:v>Covariance Status</x:v>
      </x:c>
      <x:c r="H1" s="5" t="str">
        <x:v>Hessian Condition Number</x:v>
      </x:c>
      <x:c r="I1" s="5" t="str">
        <x:v>OFV</x:v>
      </x:c>
      <x:c r="J1" s="5" t="str">
        <x:v>Source File</x:v>
      </x:c>
    </x:row>
    <x:row r="2" ht="22" customHeight="1">
      <x:c r="A2" s="10" t="str">
        <x:v>Adalimumab</x:v>
      </x:c>
      <x:c r="B2" s="10" t="str">
        <x:v>TNFA</x:v>
      </x:c>
      <x:c r="C2" s="10" t="str">
        <x:v>Run4_CL_Vc_Q_Vp_fixed_TMDD</x:v>
      </x:c>
      <x:c r="D2" s="25" t="n">
        <x:v>0.000339700103999733</x:v>
      </x:c>
      <x:c r="E2" s="26" t="n">
        <x:v>22.1790145446106</x:v>
      </x:c>
      <x:c r="F2" s="27" t="str">
        <x:v>success</x:v>
      </x:c>
      <x:c r="G2" s="27" t="str">
        <x:v>success</x:v>
      </x:c>
      <x:c r="H2" s="28" t="n">
        <x:v>185.533239801329</x:v>
      </x:c>
      <x:c r="I2" s="29" t="n">
        <x:v>186.787823257457</x:v>
      </x:c>
      <x:c r="J2" s="40" t="str">
        <x:v>04_TopDown/SimsOutputs/TopDownTMDD_OFV_Rtot_Monkey.csv</x:v>
      </x:c>
    </x:row>
    <x:row r="3" ht="22" customHeight="1">
      <x:c r="A3" s="11" t="str">
        <x:v>Atezolizumab</x:v>
      </x:c>
      <x:c r="B3" s="11" t="str">
        <x:v>PD-L1</x:v>
      </x:c>
      <x:c r="C3" s="11" t="str">
        <x:v>Run4_CL_Vc_Q_Vp_fixed_TMDD</x:v>
      </x:c>
      <x:c r="D3" s="30" t="n">
        <x:v>0.000227512896453547</x:v>
      </x:c>
      <x:c r="E3" s="31" t="n">
        <x:v>7.85994236066926</x:v>
      </x:c>
      <x:c r="F3" s="32" t="str">
        <x:v>success</x:v>
      </x:c>
      <x:c r="G3" s="32" t="str">
        <x:v>success</x:v>
      </x:c>
      <x:c r="H3" s="33" t="n">
        <x:v>294.158936686377</x:v>
      </x:c>
      <x:c r="I3" s="34" t="n">
        <x:v>255.835977287889</x:v>
      </x:c>
      <x:c r="J3" s="41" t="str">
        <x:v>04_TopDown/SimsOutputs/TopDownTMDD_OFV_Rtot_Monkey.csv</x:v>
      </x:c>
    </x:row>
    <x:row r="4" ht="22" customHeight="1">
      <x:c r="A4" s="11" t="str">
        <x:v>Avelumab</x:v>
      </x:c>
      <x:c r="B4" s="11" t="str">
        <x:v>PD-L1</x:v>
      </x:c>
      <x:c r="C4" s="11" t="str">
        <x:v>Run4_CL_Vc_Q_Vp_fixed_TMDD</x:v>
      </x:c>
      <x:c r="D4" s="30" t="n">
        <x:v>0.00115528805894328</x:v>
      </x:c>
      <x:c r="E4" s="31" t="n">
        <x:v>1.83454131856161</x:v>
      </x:c>
      <x:c r="F4" s="32" t="str">
        <x:v>success</x:v>
      </x:c>
      <x:c r="G4" s="32" t="str">
        <x:v>success</x:v>
      </x:c>
      <x:c r="H4" s="33" t="n">
        <x:v>79730.9478817234</x:v>
      </x:c>
      <x:c r="I4" s="34" t="n">
        <x:v>66.8679773287333</x:v>
      </x:c>
      <x:c r="J4" s="41" t="str">
        <x:v>04_TopDown/SimsOutputs/TopDownTMDD_OFV_Rtot_Monkey.csv</x:v>
      </x:c>
    </x:row>
    <x:row r="5" ht="22" customHeight="1">
      <x:c r="A5" s="11" t="str">
        <x:v>Bevacizumab</x:v>
      </x:c>
      <x:c r="B5" s="11" t="str">
        <x:v>VEGFA</x:v>
      </x:c>
      <x:c r="C5" s="11" t="str">
        <x:v>Run4_CL_Vc_Q_Vp_fixed_TMDD</x:v>
      </x:c>
      <x:c r="D5" s="30" t="n">
        <x:v>0.000320750084352165</x:v>
      </x:c>
      <x:c r="E5" s="31" t="n">
        <x:v>14.5368497604323</x:v>
      </x:c>
      <x:c r="F5" s="32" t="str">
        <x:v>success</x:v>
      </x:c>
      <x:c r="G5" s="32" t="str">
        <x:v>success</x:v>
      </x:c>
      <x:c r="H5" s="33" t="n">
        <x:v>719.748458842827</x:v>
      </x:c>
      <x:c r="I5" s="34" t="n">
        <x:v>316.544988808862</x:v>
      </x:c>
      <x:c r="J5" s="41" t="str">
        <x:v>04_TopDown/SimsOutputs/TopDownTMDD_OFV_Rtot_Monkey.csv</x:v>
      </x:c>
    </x:row>
    <x:row r="6" ht="22" customHeight="1">
      <x:c r="A6" s="11" t="str">
        <x:v>Golimumab</x:v>
      </x:c>
      <x:c r="B6" s="11" t="str">
        <x:v>TNFA</x:v>
      </x:c>
      <x:c r="C6" s="11" t="str">
        <x:v>Run4_CL_Vc_Q_Vp_fixed_TMDD</x:v>
      </x:c>
      <x:c r="D6" s="30" t="n">
        <x:v>0.000382190093621134</x:v>
      </x:c>
      <x:c r="E6" s="31" t="n">
        <x:v>5.89979940408147</x:v>
      </x:c>
      <x:c r="F6" s="32" t="str">
        <x:v>success</x:v>
      </x:c>
      <x:c r="G6" s="32" t="str">
        <x:v>success</x:v>
      </x:c>
      <x:c r="H6" s="33" t="n">
        <x:v>34559.7500127193</x:v>
      </x:c>
      <x:c r="I6" s="34" t="n">
        <x:v>84.2915918472173</x:v>
      </x:c>
      <x:c r="J6" s="41" t="str">
        <x:v>04_TopDown/SimsOutputs/TopDownTMDD_OFV_Rtot_Monkey.csv</x:v>
      </x:c>
    </x:row>
    <x:row r="7" ht="22" customHeight="1">
      <x:c r="A7" s="11" t="str">
        <x:v>Nivolumab</x:v>
      </x:c>
      <x:c r="B7" s="11" t="str">
        <x:v>PD-1</x:v>
      </x:c>
      <x:c r="C7" s="11" t="str">
        <x:v>Run4_CL_Vc_Q_Vp_fixed_TMDD</x:v>
      </x:c>
      <x:c r="D7" s="30" t="n">
        <x:v>0.000186143795170816</x:v>
      </x:c>
      <x:c r="E7" s="31" t="n">
        <x:v>5.43095722093643</x:v>
      </x:c>
      <x:c r="F7" s="32" t="str">
        <x:v>bobyqa_ierr_1</x:v>
      </x:c>
      <x:c r="G7" s="32" t="str">
        <x:v>success</x:v>
      </x:c>
      <x:c r="H7" s="33" t="n">
        <x:v>2416434.00664627</x:v>
      </x:c>
      <x:c r="I7" s="34" t="n">
        <x:v>458.63767953331</x:v>
      </x:c>
      <x:c r="J7" s="41" t="str">
        <x:v>04_TopDown/SimsOutputs/TopDownTMDD_OFV_Rtot_Monkey.csv</x:v>
      </x:c>
    </x:row>
    <x:row r="8" ht="22" customHeight="1">
      <x:c r="A8" s="11" t="str">
        <x:v>Pembrolizumab</x:v>
      </x:c>
      <x:c r="B8" s="11" t="str">
        <x:v>PD-1</x:v>
      </x:c>
      <x:c r="C8" s="11" t="str">
        <x:v>Run4_CL_Vc_Q_Vp_fixed_TMDD</x:v>
      </x:c>
      <x:c r="D8" s="30" t="n">
        <x:v>0.000188921095823141</x:v>
      </x:c>
      <x:c r="E8" s="31" t="n">
        <x:v>18.6208235292546</x:v>
      </x:c>
      <x:c r="F8" s="32" t="str">
        <x:v>success</x:v>
      </x:c>
      <x:c r="G8" s="32" t="str">
        <x:v>success</x:v>
      </x:c>
      <x:c r="H8" s="33" t="n">
        <x:v>948603.091984457</x:v>
      </x:c>
      <x:c r="I8" s="34" t="n">
        <x:v>355.309420946349</x:v>
      </x:c>
      <x:c r="J8" s="41" t="str">
        <x:v>04_TopDown/SimsOutputs/TopDownTMDD_OFV_Rtot_Monkey.csv</x:v>
      </x:c>
    </x:row>
    <x:row r="9" ht="22" customHeight="1">
      <x:c r="A9" s="12" t="str">
        <x:v>Tocilizumab</x:v>
      </x:c>
      <x:c r="B9" s="12" t="str">
        <x:v>IL-6R</x:v>
      </x:c>
      <x:c r="C9" s="12" t="str">
        <x:v>Run4_CL_Vc_Q_Vp_fixed_TMDD</x:v>
      </x:c>
      <x:c r="D9" s="35" t="n">
        <x:v>0.00080027796485469</x:v>
      </x:c>
      <x:c r="E9" s="36" t="n">
        <x:v>7.79056660725606</x:v>
      </x:c>
      <x:c r="F9" s="37" t="str">
        <x:v>bobyqa_ierr_1</x:v>
      </x:c>
      <x:c r="G9" s="37" t="str">
        <x:v>success</x:v>
      </x:c>
      <x:c r="H9" s="38" t="n">
        <x:v>1737062.91262748</x:v>
      </x:c>
      <x:c r="I9" s="39" t="n">
        <x:v>111.639109037943</x:v>
      </x:c>
      <x:c r="J9" s="42" t="str">
        <x:v>04_TopDown/SimsOutputs/TopDownTMDD_OFV_Rtot_Monkey.csv</x:v>
      </x:c>
    </x:row>
  </x:sheetData>
  <x:conditionalFormatting sqref="F2:F9">
    <x:cfRule type="notContainsText" dxfId="0" priority="1" text="success"/>
  </x:conditionalFormatting>
  <x:pageMargins left="0.7" right="0.7" top="0.75" bottom="0.75" header="0.3" footer="0.3"/>
  <x:tableParts count="1">
    <x:tablePart xmlns:r="http://schemas.openxmlformats.org/officeDocument/2006/relationships" r:id="Rfbea0790447745d1"/>
  </x:tableParts>
</x:worksheet>
</file>